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ario" sheetId="1" state="visible" r:id="rId3"/>
    <sheet name="Movimientos" sheetId="2" state="visible" r:id="rId4"/>
    <sheet name="Resumen" sheetId="3" state="visible" r:id="rId5"/>
    <sheet name="Instrucc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<sst xmlns="http://schemas.openxmlformats.org/spreadsheetml/2006/main" count="193" uniqueCount="134">
  <si>
    <t xml:space="preserve">📦 INVENTARIO DE BODEGA</t>
  </si>
  <si>
    <t xml:space="preserve">ID</t>
  </si>
  <si>
    <t xml:space="preserve">Categoría</t>
  </si>
  <si>
    <t xml:space="preserve">Nombre del Ítem</t>
  </si>
  <si>
    <t xml:space="preserve">Descripción</t>
  </si>
  <si>
    <t xml:space="preserve">Stock Total</t>
  </si>
  <si>
    <t xml:space="preserve">En Uso</t>
  </si>
  <si>
    <t xml:space="preserve">Disponible</t>
  </si>
  <si>
    <t xml:space="preserve">En Reparación</t>
  </si>
  <si>
    <t xml:space="preserve">Unidad</t>
  </si>
  <si>
    <t xml:space="preserve">Ubicación</t>
  </si>
  <si>
    <t xml:space="preserve">Estado</t>
  </si>
  <si>
    <t xml:space="preserve">Última Actualización</t>
  </si>
  <si>
    <t xml:space="preserve">Notas</t>
  </si>
  <si>
    <t xml:space="preserve">H001</t>
  </si>
  <si>
    <t xml:space="preserve">Herramientas</t>
  </si>
  <si>
    <t xml:space="preserve">Taladro percutor</t>
  </si>
  <si>
    <t xml:space="preserve">Bosch 800W</t>
  </si>
  <si>
    <t xml:space="preserve">Unid</t>
  </si>
  <si>
    <t xml:space="preserve">Estante A1</t>
  </si>
  <si>
    <t xml:space="preserve">Parcial</t>
  </si>
  <si>
    <t xml:space="preserve">1 en reparación</t>
  </si>
  <si>
    <t xml:space="preserve">H002</t>
  </si>
  <si>
    <t xml:space="preserve">Amoladora angular</t>
  </si>
  <si>
    <t xml:space="preserve">Makita 115mm</t>
  </si>
  <si>
    <t xml:space="preserve">Estante A2</t>
  </si>
  <si>
    <t xml:space="preserve">En uso</t>
  </si>
  <si>
    <t xml:space="preserve">H003</t>
  </si>
  <si>
    <t xml:space="preserve">Cinta métrica 5m</t>
  </si>
  <si>
    <t xml:space="preserve">Stanley</t>
  </si>
  <si>
    <t xml:space="preserve">Cajón B1</t>
  </si>
  <si>
    <t xml:space="preserve">OK</t>
  </si>
  <si>
    <t xml:space="preserve">I001</t>
  </si>
  <si>
    <t xml:space="preserve">Insumos</t>
  </si>
  <si>
    <t xml:space="preserve">Tornillos 3/8"</t>
  </si>
  <si>
    <t xml:space="preserve">Acero galv.</t>
  </si>
  <si>
    <t xml:space="preserve">Estante C1</t>
  </si>
  <si>
    <t xml:space="preserve">Reponer cuando &lt;50</t>
  </si>
  <si>
    <t xml:space="preserve">I002</t>
  </si>
  <si>
    <t xml:space="preserve">Cinta aislante</t>
  </si>
  <si>
    <t xml:space="preserve">3M negra</t>
  </si>
  <si>
    <t xml:space="preserve">Rollo</t>
  </si>
  <si>
    <t xml:space="preserve">Cajón C2</t>
  </si>
  <si>
    <t xml:space="preserve">I003</t>
  </si>
  <si>
    <t xml:space="preserve">Pintura epóxica</t>
  </si>
  <si>
    <t xml:space="preserve">Blanco 1gl</t>
  </si>
  <si>
    <t xml:space="preserve">Galón</t>
  </si>
  <si>
    <t xml:space="preserve">Bodega D</t>
  </si>
  <si>
    <t xml:space="preserve">E001</t>
  </si>
  <si>
    <t xml:space="preserve">EPP</t>
  </si>
  <si>
    <t xml:space="preserve">Casco seguridad</t>
  </si>
  <si>
    <t xml:space="preserve">3M blanco</t>
  </si>
  <si>
    <t xml:space="preserve">Estante E1</t>
  </si>
  <si>
    <t xml:space="preserve">E002</t>
  </si>
  <si>
    <t xml:space="preserve">Guantes nitrilo</t>
  </si>
  <si>
    <t xml:space="preserve">Talla M</t>
  </si>
  <si>
    <t xml:space="preserve">Par</t>
  </si>
  <si>
    <t xml:space="preserve">Cajón E2</t>
  </si>
  <si>
    <t xml:space="preserve">Stock mínimo 20</t>
  </si>
  <si>
    <t xml:space="preserve">E003</t>
  </si>
  <si>
    <t xml:space="preserve">Arnés seguridad</t>
  </si>
  <si>
    <t xml:space="preserve">Doble gancho</t>
  </si>
  <si>
    <t xml:space="preserve">Estante E3</t>
  </si>
  <si>
    <t xml:space="preserve">1 en revisión</t>
  </si>
  <si>
    <t xml:space="preserve">R001</t>
  </si>
  <si>
    <t xml:space="preserve">Repuestos</t>
  </si>
  <si>
    <t xml:space="preserve">Escobilla taladro</t>
  </si>
  <si>
    <t xml:space="preserve">Bosch universal</t>
  </si>
  <si>
    <t xml:space="preserve">Cajón F1</t>
  </si>
  <si>
    <t xml:space="preserve">R002</t>
  </si>
  <si>
    <t xml:space="preserve">Disco de corte</t>
  </si>
  <si>
    <t xml:space="preserve">230mm metal</t>
  </si>
  <si>
    <t xml:space="preserve">Estante F2</t>
  </si>
  <si>
    <t xml:space="preserve">📋 REGISTRO DE MOVIMIENTOS</t>
  </si>
  <si>
    <t xml:space="preserve">Fecha</t>
  </si>
  <si>
    <t xml:space="preserve">ID Ítem</t>
  </si>
  <si>
    <t xml:space="preserve">Nombre Ítem</t>
  </si>
  <si>
    <t xml:space="preserve">Tipo</t>
  </si>
  <si>
    <t xml:space="preserve">Cantidad</t>
  </si>
  <si>
    <t xml:space="preserve">Responsable</t>
  </si>
  <si>
    <t xml:space="preserve">Destino/Origen</t>
  </si>
  <si>
    <t xml:space="preserve">Motivo</t>
  </si>
  <si>
    <t xml:space="preserve">Saldo Anterior</t>
  </si>
  <si>
    <t xml:space="preserve">SALIDA</t>
  </si>
  <si>
    <t xml:space="preserve">Juan Pérez</t>
  </si>
  <si>
    <t xml:space="preserve">Obra Norte</t>
  </si>
  <si>
    <t xml:space="preserve">Trabajo en terreno</t>
  </si>
  <si>
    <t xml:space="preserve">SALIDA_REP</t>
  </si>
  <si>
    <t xml:space="preserve">Taller</t>
  </si>
  <si>
    <t xml:space="preserve">Falla de chuck</t>
  </si>
  <si>
    <t xml:space="preserve">María López</t>
  </si>
  <si>
    <t xml:space="preserve">Obra Sur</t>
  </si>
  <si>
    <t xml:space="preserve">Dotación equipo</t>
  </si>
  <si>
    <t xml:space="preserve">Carlos Ruiz</t>
  </si>
  <si>
    <t xml:space="preserve">Corte estructura</t>
  </si>
  <si>
    <t xml:space="preserve">ENTRADA</t>
  </si>
  <si>
    <t xml:space="preserve">Proveedor XYZ</t>
  </si>
  <si>
    <t xml:space="preserve">Bodega</t>
  </si>
  <si>
    <t xml:space="preserve">Reposición stock</t>
  </si>
  <si>
    <t xml:space="preserve">Pedro Soto</t>
  </si>
  <si>
    <t xml:space="preserve">Revisión anual</t>
  </si>
  <si>
    <t xml:space="preserve">📊 RESUMEN DE INVENTARIO</t>
  </si>
  <si>
    <t xml:space="preserve">Total de ítems registrados</t>
  </si>
  <si>
    <t xml:space="preserve">Ítems disponibles (OK)</t>
  </si>
  <si>
    <t xml:space="preserve">Ítems en uso</t>
  </si>
  <si>
    <t xml:space="preserve">Ítems en reparación/Parcial</t>
  </si>
  <si>
    <t xml:space="preserve">Movimientos registrados</t>
  </si>
  <si>
    <t xml:space="preserve">Resumen por categoría</t>
  </si>
  <si>
    <t xml:space="preserve">Total Ítems</t>
  </si>
  <si>
    <t xml:space="preserve">ℹ️ CÓMO USAR ESTE INVENTARIO</t>
  </si>
  <si>
    <t xml:space="preserve">ESTADOS VÁLIDOS</t>
  </si>
  <si>
    <t xml:space="preserve">Ítem disponible, en buen estado</t>
  </si>
  <si>
    <t xml:space="preserve">Ítem fuera de bodega, en operación</t>
  </si>
  <si>
    <t xml:space="preserve">Parte del stock en uso o reparación</t>
  </si>
  <si>
    <t xml:space="preserve">Crítico</t>
  </si>
  <si>
    <t xml:space="preserve">Stock mínimo o daño severo</t>
  </si>
  <si>
    <t xml:space="preserve">TIPOS DE MOVIMIENTO</t>
  </si>
  <si>
    <t xml:space="preserve">Compra, devolución o reposición</t>
  </si>
  <si>
    <t xml:space="preserve">Ítem enviado a obra o asignado</t>
  </si>
  <si>
    <t xml:space="preserve">Ítem enviado a reparación/mantención</t>
  </si>
  <si>
    <t xml:space="preserve">COLUMNAS CLAVE (Inventario)</t>
  </si>
  <si>
    <t xml:space="preserve">Cantidad total de ese ítem que tienes</t>
  </si>
  <si>
    <t xml:space="preserve">Cuántos están actualmente fuera de bodega</t>
  </si>
  <si>
    <t xml:space="preserve">Se calcula automático: Total − En Uso − En Reparación</t>
  </si>
  <si>
    <t xml:space="preserve">Cuántos están en taller o en revisión</t>
  </si>
  <si>
    <t xml:space="preserve">CONSEJOS</t>
  </si>
  <si>
    <t xml:space="preserve">1.</t>
  </si>
  <si>
    <t xml:space="preserve">Cada vez que saques o ingreses un ítem, regístralo en la hoja Movimientos</t>
  </si>
  <si>
    <t xml:space="preserve">2.</t>
  </si>
  <si>
    <t xml:space="preserve">Actualiza 'En Uso' y 'En Reparación' en la hoja Inventario</t>
  </si>
  <si>
    <t xml:space="preserve">3.</t>
  </si>
  <si>
    <t xml:space="preserve">El bot de WhatsApp lee directamente este archivo — mantenlo actualizado</t>
  </si>
  <si>
    <t xml:space="preserve">4.</t>
  </si>
  <si>
    <t xml:space="preserve">Guarda el archivo en una carpeta compartida (OneDrive, Google Drive, etc.)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</si>
</sst>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A5276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0"/>
      <color rgb="FF2980B9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0"/>
      <color rgb="FFA93226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A527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1A5276"/>
      </patternFill>
    </fill>
    <fill>
      <patternFill patternType="solid">
        <fgColor rgb="FFD6E4F0"/>
        <bgColor rgb="FFD6EAF8"/>
      </patternFill>
    </fill>
    <fill>
      <patternFill patternType="solid">
        <fgColor rgb="FFD5F5E3"/>
        <bgColor rgb="FFD6EAF8"/>
      </patternFill>
    </fill>
    <fill>
      <patternFill patternType="solid">
        <fgColor rgb="FFFEF9E7"/>
        <bgColor rgb="FFFFFFFF"/>
      </patternFill>
    </fill>
    <fill>
      <patternFill patternType="solid">
        <fgColor rgb="FFFDEDEC"/>
        <bgColor rgb="FFFEF9E7"/>
      </patternFill>
    </fill>
    <fill>
      <patternFill patternType="solid">
        <fgColor rgb="FF1A5276"/>
        <bgColor rgb="FF1F4E79"/>
      </patternFill>
    </fill>
    <fill>
      <patternFill patternType="solid">
        <fgColor rgb="FF145A32"/>
        <bgColor rgb="FF1A5276"/>
      </patternFill>
    </fill>
    <fill>
      <patternFill patternType="solid">
        <fgColor rgb="FFD6EAF8"/>
        <bgColor rgb="FFD6E4F0"/>
      </patternFill>
    </fill>
    <fill>
      <patternFill patternType="solid">
        <fgColor rgb="FFEBF5FB"/>
        <bgColor rgb="FFFDEDEC"/>
      </patternFill>
    </fill>
    <fill>
      <patternFill patternType="solid">
        <fgColor rgb="FF2E86C1"/>
        <bgColor rgb="FF2980B9"/>
      </patternFill>
    </fill>
    <fill>
      <patternFill patternType="solid">
        <fgColor rgb="FF6C3483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C0C0C0"/>
      <rgbColor rgb="FF808080"/>
      <rgbColor rgb="FF9999FF"/>
      <rgbColor rgb="FF6C3483"/>
      <rgbColor rgb="FFFEF9E7"/>
      <rgbColor rgb="FFD6EAF8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EBF5FB"/>
      <rgbColor rgb="FFD5F5E3"/>
      <rgbColor rgb="FFFDEDEC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FF9900"/>
      <rgbColor rgb="FFE67E22"/>
      <rgbColor rgb="FF666699"/>
      <rgbColor rgb="FFAAAAAA"/>
      <rgbColor rgb="FF1A5276"/>
      <rgbColor rgb="FF27AE60"/>
      <rgbColor rgb="FF003300"/>
      <rgbColor rgb="FF333300"/>
      <rgbColor rgb="FFA93226"/>
      <rgbColor rgb="FF993366"/>
      <rgbColor rgb="FF1F4E79"/>
      <rgbColor rgb="FF145A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8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8"/>
    <col collapsed="false" customWidth="true" hidden="false" outlineLevel="0" max="13" min="13" style="0" width="2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6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15" hidden="false" customHeight="false" outlineLevel="0" collapsed="false">
      <c r="A3" s="3" t="s">
        <v>14</v>
      </c>
      <c r="B3" s="3" t="s">
        <v>15</v>
      </c>
      <c r="C3" s="3" t="s">
        <v>16</v>
      </c>
      <c r="D3" s="3" t="s">
        <v>17</v>
      </c>
      <c r="E3" s="3" t="n">
        <v>3</v>
      </c>
      <c r="F3" s="3" t="n">
        <v>1</v>
      </c>
      <c r="G3" s="4" t="n">
        <f aca="false">E3-F3-H3</f>
        <v>1</v>
      </c>
      <c r="H3" s="3" t="n">
        <v>1</v>
      </c>
      <c r="I3" s="3" t="s">
        <v>18</v>
      </c>
      <c r="J3" s="3" t="s">
        <v>19</v>
      </c>
      <c r="K3" s="5" t="s">
        <v>20</v>
      </c>
      <c r="L3" s="6" t="n">
        <v>46193</v>
      </c>
      <c r="M3" s="3" t="s">
        <v>21</v>
      </c>
    </row>
    <row r="4" customFormat="false" ht="15" hidden="false" customHeight="false" outlineLevel="0" collapsed="false">
      <c r="A4" s="3" t="s">
        <v>22</v>
      </c>
      <c r="B4" s="3" t="s">
        <v>15</v>
      </c>
      <c r="C4" s="3" t="s">
        <v>23</v>
      </c>
      <c r="D4" s="3" t="s">
        <v>24</v>
      </c>
      <c r="E4" s="3" t="n">
        <v>2</v>
      </c>
      <c r="F4" s="3" t="n">
        <v>2</v>
      </c>
      <c r="G4" s="4" t="n">
        <f aca="false">E4-F4-H4</f>
        <v>0</v>
      </c>
      <c r="H4" s="3" t="n">
        <v>0</v>
      </c>
      <c r="I4" s="3" t="s">
        <v>18</v>
      </c>
      <c r="J4" s="3" t="s">
        <v>25</v>
      </c>
      <c r="K4" s="7" t="s">
        <v>26</v>
      </c>
      <c r="L4" s="6" t="n">
        <v>46198</v>
      </c>
      <c r="M4" s="3"/>
    </row>
    <row r="5" customFormat="false" ht="15" hidden="false" customHeight="false" outlineLevel="0" collapsed="false">
      <c r="A5" s="3" t="s">
        <v>27</v>
      </c>
      <c r="B5" s="3" t="s">
        <v>15</v>
      </c>
      <c r="C5" s="3" t="s">
        <v>28</v>
      </c>
      <c r="D5" s="3" t="s">
        <v>29</v>
      </c>
      <c r="E5" s="3" t="n">
        <v>5</v>
      </c>
      <c r="F5" s="3" t="n">
        <v>0</v>
      </c>
      <c r="G5" s="4" t="n">
        <f aca="false">E5-F5-H5</f>
        <v>5</v>
      </c>
      <c r="H5" s="3" t="n">
        <v>0</v>
      </c>
      <c r="I5" s="3" t="s">
        <v>18</v>
      </c>
      <c r="J5" s="3" t="s">
        <v>30</v>
      </c>
      <c r="K5" s="8" t="s">
        <v>31</v>
      </c>
      <c r="L5" s="6" t="n">
        <v>46174</v>
      </c>
      <c r="M5" s="3"/>
    </row>
    <row r="6" customFormat="false" ht="15" hidden="false" customHeight="false" outlineLevel="0" collapsed="false">
      <c r="A6" s="9" t="s">
        <v>32</v>
      </c>
      <c r="B6" s="9" t="s">
        <v>33</v>
      </c>
      <c r="C6" s="9" t="s">
        <v>34</v>
      </c>
      <c r="D6" s="9" t="s">
        <v>35</v>
      </c>
      <c r="E6" s="9" t="n">
        <v>200</v>
      </c>
      <c r="F6" s="9" t="n">
        <v>0</v>
      </c>
      <c r="G6" s="10" t="n">
        <f aca="false">E6-F6-H6</f>
        <v>200</v>
      </c>
      <c r="H6" s="9" t="n">
        <v>0</v>
      </c>
      <c r="I6" s="9" t="s">
        <v>18</v>
      </c>
      <c r="J6" s="9" t="s">
        <v>36</v>
      </c>
      <c r="K6" s="11" t="s">
        <v>31</v>
      </c>
      <c r="L6" s="12" t="n">
        <v>46188</v>
      </c>
      <c r="M6" s="9" t="s">
        <v>37</v>
      </c>
    </row>
    <row r="7" customFormat="false" ht="15" hidden="false" customHeight="false" outlineLevel="0" collapsed="false">
      <c r="A7" s="9" t="s">
        <v>38</v>
      </c>
      <c r="B7" s="9" t="s">
        <v>33</v>
      </c>
      <c r="C7" s="9" t="s">
        <v>39</v>
      </c>
      <c r="D7" s="9" t="s">
        <v>40</v>
      </c>
      <c r="E7" s="9" t="n">
        <v>15</v>
      </c>
      <c r="F7" s="9" t="n">
        <v>0</v>
      </c>
      <c r="G7" s="10" t="n">
        <f aca="false">E7-F7-H7</f>
        <v>15</v>
      </c>
      <c r="H7" s="9" t="n">
        <v>0</v>
      </c>
      <c r="I7" s="9" t="s">
        <v>41</v>
      </c>
      <c r="J7" s="9" t="s">
        <v>42</v>
      </c>
      <c r="K7" s="11" t="s">
        <v>31</v>
      </c>
      <c r="L7" s="12" t="n">
        <v>46172</v>
      </c>
      <c r="M7" s="9"/>
    </row>
    <row r="8" customFormat="false" ht="15" hidden="false" customHeight="false" outlineLevel="0" collapsed="false">
      <c r="A8" s="9" t="s">
        <v>43</v>
      </c>
      <c r="B8" s="9" t="s">
        <v>33</v>
      </c>
      <c r="C8" s="9" t="s">
        <v>44</v>
      </c>
      <c r="D8" s="9" t="s">
        <v>45</v>
      </c>
      <c r="E8" s="9" t="n">
        <v>4</v>
      </c>
      <c r="F8" s="9" t="n">
        <v>0</v>
      </c>
      <c r="G8" s="10" t="n">
        <f aca="false">E8-F8-H8</f>
        <v>4</v>
      </c>
      <c r="H8" s="9" t="n">
        <v>0</v>
      </c>
      <c r="I8" s="9" t="s">
        <v>46</v>
      </c>
      <c r="J8" s="9" t="s">
        <v>47</v>
      </c>
      <c r="K8" s="11" t="s">
        <v>31</v>
      </c>
      <c r="L8" s="12" t="n">
        <v>46183</v>
      </c>
      <c r="M8" s="9"/>
    </row>
    <row r="9" customFormat="false" ht="15" hidden="false" customHeight="false" outlineLevel="0" collapsed="false">
      <c r="A9" s="13" t="s">
        <v>48</v>
      </c>
      <c r="B9" s="13" t="s">
        <v>49</v>
      </c>
      <c r="C9" s="13" t="s">
        <v>50</v>
      </c>
      <c r="D9" s="13" t="s">
        <v>51</v>
      </c>
      <c r="E9" s="13" t="n">
        <v>10</v>
      </c>
      <c r="F9" s="13" t="n">
        <v>6</v>
      </c>
      <c r="G9" s="14" t="n">
        <f aca="false">E9-F9-H9</f>
        <v>4</v>
      </c>
      <c r="H9" s="13" t="n">
        <v>0</v>
      </c>
      <c r="I9" s="13" t="s">
        <v>18</v>
      </c>
      <c r="J9" s="13" t="s">
        <v>52</v>
      </c>
      <c r="K9" s="15" t="s">
        <v>31</v>
      </c>
      <c r="L9" s="16" t="n">
        <v>46191</v>
      </c>
      <c r="M9" s="13"/>
    </row>
    <row r="10" customFormat="false" ht="15" hidden="false" customHeight="false" outlineLevel="0" collapsed="false">
      <c r="A10" s="13" t="s">
        <v>53</v>
      </c>
      <c r="B10" s="13" t="s">
        <v>49</v>
      </c>
      <c r="C10" s="13" t="s">
        <v>54</v>
      </c>
      <c r="D10" s="13" t="s">
        <v>55</v>
      </c>
      <c r="E10" s="13" t="n">
        <v>50</v>
      </c>
      <c r="F10" s="13" t="n">
        <v>0</v>
      </c>
      <c r="G10" s="14" t="n">
        <f aca="false">E10-F10-H10</f>
        <v>50</v>
      </c>
      <c r="H10" s="13" t="n">
        <v>0</v>
      </c>
      <c r="I10" s="13" t="s">
        <v>56</v>
      </c>
      <c r="J10" s="13" t="s">
        <v>57</v>
      </c>
      <c r="K10" s="15" t="s">
        <v>31</v>
      </c>
      <c r="L10" s="16" t="n">
        <v>46195</v>
      </c>
      <c r="M10" s="13" t="s">
        <v>58</v>
      </c>
    </row>
    <row r="11" customFormat="false" ht="15" hidden="false" customHeight="false" outlineLevel="0" collapsed="false">
      <c r="A11" s="13" t="s">
        <v>59</v>
      </c>
      <c r="B11" s="13" t="s">
        <v>49</v>
      </c>
      <c r="C11" s="13" t="s">
        <v>60</v>
      </c>
      <c r="D11" s="13" t="s">
        <v>61</v>
      </c>
      <c r="E11" s="13" t="n">
        <v>4</v>
      </c>
      <c r="F11" s="13" t="n">
        <v>2</v>
      </c>
      <c r="G11" s="14" t="n">
        <f aca="false">E11-F11-H11</f>
        <v>1</v>
      </c>
      <c r="H11" s="13" t="n">
        <v>1</v>
      </c>
      <c r="I11" s="13" t="s">
        <v>18</v>
      </c>
      <c r="J11" s="13" t="s">
        <v>62</v>
      </c>
      <c r="K11" s="17" t="s">
        <v>20</v>
      </c>
      <c r="L11" s="16" t="n">
        <v>46193</v>
      </c>
      <c r="M11" s="13" t="s">
        <v>63</v>
      </c>
    </row>
    <row r="12" customFormat="false" ht="15" hidden="false" customHeight="false" outlineLevel="0" collapsed="false">
      <c r="A12" s="18" t="s">
        <v>64</v>
      </c>
      <c r="B12" s="18" t="s">
        <v>65</v>
      </c>
      <c r="C12" s="18" t="s">
        <v>66</v>
      </c>
      <c r="D12" s="18" t="s">
        <v>67</v>
      </c>
      <c r="E12" s="18" t="n">
        <v>8</v>
      </c>
      <c r="F12" s="18" t="n">
        <v>0</v>
      </c>
      <c r="G12" s="19" t="n">
        <f aca="false">E12-F12-H12</f>
        <v>8</v>
      </c>
      <c r="H12" s="18" t="n">
        <v>0</v>
      </c>
      <c r="I12" s="18" t="s">
        <v>56</v>
      </c>
      <c r="J12" s="18" t="s">
        <v>68</v>
      </c>
      <c r="K12" s="20" t="s">
        <v>31</v>
      </c>
      <c r="L12" s="21" t="n">
        <v>46117</v>
      </c>
      <c r="M12" s="18"/>
    </row>
    <row r="13" customFormat="false" ht="15" hidden="false" customHeight="false" outlineLevel="0" collapsed="false">
      <c r="A13" s="18" t="s">
        <v>69</v>
      </c>
      <c r="B13" s="18" t="s">
        <v>65</v>
      </c>
      <c r="C13" s="18" t="s">
        <v>70</v>
      </c>
      <c r="D13" s="18" t="s">
        <v>71</v>
      </c>
      <c r="E13" s="18" t="n">
        <v>12</v>
      </c>
      <c r="F13" s="18" t="n">
        <v>0</v>
      </c>
      <c r="G13" s="19" t="n">
        <f aca="false">E13-F13-H13</f>
        <v>12</v>
      </c>
      <c r="H13" s="18" t="n">
        <v>0</v>
      </c>
      <c r="I13" s="18" t="s">
        <v>18</v>
      </c>
      <c r="J13" s="18" t="s">
        <v>72</v>
      </c>
      <c r="K13" s="20" t="s">
        <v>31</v>
      </c>
      <c r="L13" s="21" t="n">
        <v>46162</v>
      </c>
      <c r="M13" s="18"/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6" style="0" width="18"/>
    <col collapsed="false" customWidth="true" hidden="false" outlineLevel="0" max="8" min="8" style="0" width="22"/>
    <col collapsed="false" customWidth="true" hidden="false" outlineLevel="0" max="9" min="9" style="0" width="14"/>
  </cols>
  <sheetData>
    <row r="1" customFormat="false" ht="30" hidden="false" customHeight="true" outlineLevel="0" collapsed="false">
      <c r="A1" s="22" t="s">
        <v>73</v>
      </c>
      <c r="B1" s="22"/>
      <c r="C1" s="22"/>
      <c r="D1" s="22"/>
      <c r="E1" s="22"/>
      <c r="F1" s="22"/>
      <c r="G1" s="22"/>
      <c r="H1" s="22"/>
      <c r="I1" s="22"/>
    </row>
    <row r="2" customFormat="false" ht="26.85" hidden="false" customHeight="false" outlineLevel="0" collapsed="false">
      <c r="A2" s="23" t="s">
        <v>74</v>
      </c>
      <c r="B2" s="23" t="s">
        <v>75</v>
      </c>
      <c r="C2" s="23" t="s">
        <v>76</v>
      </c>
      <c r="D2" s="23" t="s">
        <v>77</v>
      </c>
      <c r="E2" s="23" t="s">
        <v>78</v>
      </c>
      <c r="F2" s="23" t="s">
        <v>79</v>
      </c>
      <c r="G2" s="23" t="s">
        <v>80</v>
      </c>
      <c r="H2" s="23" t="s">
        <v>81</v>
      </c>
      <c r="I2" s="23" t="s">
        <v>82</v>
      </c>
    </row>
    <row r="3" customFormat="false" ht="15" hidden="false" customHeight="false" outlineLevel="0" collapsed="false">
      <c r="A3" s="24" t="n">
        <v>46193</v>
      </c>
      <c r="B3" s="25" t="s">
        <v>14</v>
      </c>
      <c r="C3" s="25" t="s">
        <v>16</v>
      </c>
      <c r="D3" s="26" t="s">
        <v>83</v>
      </c>
      <c r="E3" s="25" t="n">
        <v>1</v>
      </c>
      <c r="F3" s="25" t="s">
        <v>84</v>
      </c>
      <c r="G3" s="25" t="s">
        <v>85</v>
      </c>
      <c r="H3" s="25" t="s">
        <v>86</v>
      </c>
      <c r="I3" s="25" t="n">
        <v>3</v>
      </c>
    </row>
    <row r="4" customFormat="false" ht="15" hidden="false" customHeight="false" outlineLevel="0" collapsed="false">
      <c r="A4" s="24" t="n">
        <v>46193</v>
      </c>
      <c r="B4" s="25" t="s">
        <v>14</v>
      </c>
      <c r="C4" s="25" t="s">
        <v>16</v>
      </c>
      <c r="D4" s="27" t="s">
        <v>87</v>
      </c>
      <c r="E4" s="25" t="n">
        <v>1</v>
      </c>
      <c r="F4" s="25" t="s">
        <v>84</v>
      </c>
      <c r="G4" s="25" t="s">
        <v>88</v>
      </c>
      <c r="H4" s="25" t="s">
        <v>89</v>
      </c>
      <c r="I4" s="25" t="n">
        <v>3</v>
      </c>
    </row>
    <row r="5" customFormat="false" ht="15" hidden="false" customHeight="false" outlineLevel="0" collapsed="false">
      <c r="A5" s="24" t="n">
        <v>46195</v>
      </c>
      <c r="B5" s="25" t="s">
        <v>48</v>
      </c>
      <c r="C5" s="25" t="s">
        <v>50</v>
      </c>
      <c r="D5" s="26" t="s">
        <v>83</v>
      </c>
      <c r="E5" s="25" t="n">
        <v>6</v>
      </c>
      <c r="F5" s="25" t="s">
        <v>90</v>
      </c>
      <c r="G5" s="25" t="s">
        <v>91</v>
      </c>
      <c r="H5" s="25" t="s">
        <v>92</v>
      </c>
      <c r="I5" s="25" t="n">
        <v>10</v>
      </c>
    </row>
    <row r="6" customFormat="false" ht="15" hidden="false" customHeight="false" outlineLevel="0" collapsed="false">
      <c r="A6" s="24" t="n">
        <v>46198</v>
      </c>
      <c r="B6" s="25" t="s">
        <v>22</v>
      </c>
      <c r="C6" s="25" t="s">
        <v>23</v>
      </c>
      <c r="D6" s="26" t="s">
        <v>83</v>
      </c>
      <c r="E6" s="25" t="n">
        <v>2</v>
      </c>
      <c r="F6" s="25" t="s">
        <v>93</v>
      </c>
      <c r="G6" s="25" t="s">
        <v>85</v>
      </c>
      <c r="H6" s="25" t="s">
        <v>94</v>
      </c>
      <c r="I6" s="25" t="n">
        <v>2</v>
      </c>
    </row>
    <row r="7" customFormat="false" ht="15" hidden="false" customHeight="false" outlineLevel="0" collapsed="false">
      <c r="A7" s="24" t="n">
        <v>46188</v>
      </c>
      <c r="B7" s="25" t="s">
        <v>32</v>
      </c>
      <c r="C7" s="25" t="s">
        <v>34</v>
      </c>
      <c r="D7" s="28" t="s">
        <v>95</v>
      </c>
      <c r="E7" s="25" t="n">
        <v>100</v>
      </c>
      <c r="F7" s="25" t="s">
        <v>96</v>
      </c>
      <c r="G7" s="25" t="s">
        <v>97</v>
      </c>
      <c r="H7" s="25" t="s">
        <v>98</v>
      </c>
      <c r="I7" s="25" t="n">
        <v>100</v>
      </c>
    </row>
    <row r="8" customFormat="false" ht="15" hidden="false" customHeight="false" outlineLevel="0" collapsed="false">
      <c r="A8" s="24" t="n">
        <v>46191</v>
      </c>
      <c r="B8" s="25" t="s">
        <v>59</v>
      </c>
      <c r="C8" s="25" t="s">
        <v>60</v>
      </c>
      <c r="D8" s="27" t="s">
        <v>87</v>
      </c>
      <c r="E8" s="25" t="n">
        <v>1</v>
      </c>
      <c r="F8" s="25" t="s">
        <v>99</v>
      </c>
      <c r="G8" s="25" t="s">
        <v>88</v>
      </c>
      <c r="H8" s="25" t="s">
        <v>100</v>
      </c>
      <c r="I8" s="25" t="n">
        <v>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6"/>
  </cols>
  <sheetData>
    <row r="1" customFormat="false" ht="34.5" hidden="false" customHeight="true" outlineLevel="0" collapsed="false">
      <c r="A1" s="29" t="s">
        <v>101</v>
      </c>
      <c r="B1" s="29"/>
      <c r="C1" s="29"/>
      <c r="D1" s="29"/>
      <c r="E1" s="29"/>
      <c r="F1" s="29"/>
    </row>
    <row r="3" customFormat="false" ht="27.75" hidden="false" customHeight="true" outlineLevel="0" collapsed="false">
      <c r="A3" s="30" t="s">
        <v>102</v>
      </c>
      <c r="B3" s="30"/>
      <c r="C3" s="30"/>
      <c r="D3" s="30"/>
      <c r="E3" s="31" t="n">
        <f aca="false">COUNTA(Inventario!A3:A1000)</f>
        <v>11</v>
      </c>
      <c r="F3" s="31"/>
    </row>
    <row r="5" customFormat="false" ht="27.75" hidden="false" customHeight="true" outlineLevel="0" collapsed="false">
      <c r="A5" s="32" t="s">
        <v>103</v>
      </c>
      <c r="B5" s="32"/>
      <c r="C5" s="32"/>
      <c r="D5" s="32"/>
      <c r="E5" s="33" t="n">
        <f aca="false">COUNTIF(Inventario!K3:K1000,"OK")</f>
        <v>8</v>
      </c>
      <c r="F5" s="33"/>
    </row>
    <row r="7" customFormat="false" ht="27.75" hidden="false" customHeight="true" outlineLevel="0" collapsed="false">
      <c r="A7" s="34" t="s">
        <v>104</v>
      </c>
      <c r="B7" s="34"/>
      <c r="C7" s="34"/>
      <c r="D7" s="34"/>
      <c r="E7" s="35" t="n">
        <f aca="false">COUNTIF(Inventario!K3:K1000,"En uso")</f>
        <v>1</v>
      </c>
      <c r="F7" s="35"/>
    </row>
    <row r="9" customFormat="false" ht="27.75" hidden="false" customHeight="true" outlineLevel="0" collapsed="false">
      <c r="A9" s="36" t="s">
        <v>105</v>
      </c>
      <c r="B9" s="36"/>
      <c r="C9" s="36"/>
      <c r="D9" s="36"/>
      <c r="E9" s="37" t="n">
        <f aca="false">COUNTIF(Inventario!K3:K1000,"Parcial")+COUNTIF(Inventario!K3:K1000,"Crítico")</f>
        <v>2</v>
      </c>
      <c r="F9" s="37"/>
    </row>
    <row r="11" customFormat="false" ht="27.75" hidden="false" customHeight="true" outlineLevel="0" collapsed="false">
      <c r="A11" s="38" t="s">
        <v>106</v>
      </c>
      <c r="B11" s="38"/>
      <c r="C11" s="38"/>
      <c r="D11" s="38"/>
      <c r="E11" s="39" t="n">
        <f aca="false">COUNTA(Movimientos!A3:A1000)</f>
        <v>6</v>
      </c>
      <c r="F11" s="39"/>
    </row>
    <row r="15" customFormat="false" ht="15" hidden="false" customHeight="false" outlineLevel="0" collapsed="false">
      <c r="A15" s="40" t="s">
        <v>107</v>
      </c>
      <c r="B15" s="40"/>
      <c r="C15" s="40"/>
      <c r="D15" s="40"/>
      <c r="E15" s="40"/>
      <c r="F15" s="40"/>
    </row>
    <row r="16" customFormat="false" ht="15" hidden="false" customHeight="false" outlineLevel="0" collapsed="false">
      <c r="A16" s="41" t="s">
        <v>2</v>
      </c>
      <c r="B16" s="41" t="s">
        <v>108</v>
      </c>
      <c r="C16" s="41" t="s">
        <v>5</v>
      </c>
      <c r="D16" s="41" t="s">
        <v>6</v>
      </c>
      <c r="E16" s="41" t="s">
        <v>7</v>
      </c>
      <c r="F16" s="41" t="s">
        <v>8</v>
      </c>
    </row>
    <row r="17" customFormat="false" ht="15" hidden="false" customHeight="false" outlineLevel="0" collapsed="false">
      <c r="A17" s="42" t="s">
        <v>15</v>
      </c>
      <c r="B17" s="43" t="n">
        <f aca="false">COUNTIF(Inventario!B3:B1000,"Herramientas")</f>
        <v>3</v>
      </c>
      <c r="C17" s="43" t="n">
        <f aca="false">SUMIF(Inventario!B3:B1000,"Herramientas",Inventario!E3:E1000)</f>
        <v>10</v>
      </c>
      <c r="D17" s="43" t="n">
        <f aca="false">SUMIF(Inventario!B3:B1000,"Herramientas",Inventario!F3:F1000)</f>
        <v>3</v>
      </c>
      <c r="E17" s="43" t="n">
        <f aca="false">SUMIF(Inventario!B3:B1000,"Herramientas",Inventario!G3:G1000)</f>
        <v>6</v>
      </c>
      <c r="F17" s="43" t="n">
        <f aca="false">SUMIF(Inventario!B3:B1000,"Herramientas",Inventario!H3:H1000)</f>
        <v>1</v>
      </c>
    </row>
    <row r="18" customFormat="false" ht="15" hidden="false" customHeight="false" outlineLevel="0" collapsed="false">
      <c r="A18" s="44" t="s">
        <v>33</v>
      </c>
      <c r="B18" s="45" t="n">
        <f aca="false">COUNTIF(Inventario!B3:B1000,"Insumos")</f>
        <v>3</v>
      </c>
      <c r="C18" s="45" t="n">
        <f aca="false">SUMIF(Inventario!B3:B1000,"Insumos",Inventario!E3:E1000)</f>
        <v>219</v>
      </c>
      <c r="D18" s="45" t="n">
        <f aca="false">SUMIF(Inventario!B3:B1000,"Insumos",Inventario!F3:F1000)</f>
        <v>0</v>
      </c>
      <c r="E18" s="45" t="n">
        <f aca="false">SUMIF(Inventario!B3:B1000,"Insumos",Inventario!G3:G1000)</f>
        <v>219</v>
      </c>
      <c r="F18" s="45" t="n">
        <f aca="false">SUMIF(Inventario!B3:B1000,"Insumos",Inventario!H3:H1000)</f>
        <v>0</v>
      </c>
    </row>
    <row r="19" customFormat="false" ht="15" hidden="false" customHeight="false" outlineLevel="0" collapsed="false">
      <c r="A19" s="46" t="s">
        <v>49</v>
      </c>
      <c r="B19" s="47" t="n">
        <f aca="false">COUNTIF(Inventario!B3:B1000,"EPP")</f>
        <v>3</v>
      </c>
      <c r="C19" s="47" t="n">
        <f aca="false">SUMIF(Inventario!B3:B1000,"EPP",Inventario!E3:E1000)</f>
        <v>64</v>
      </c>
      <c r="D19" s="47" t="n">
        <f aca="false">SUMIF(Inventario!B3:B1000,"EPP",Inventario!F3:F1000)</f>
        <v>8</v>
      </c>
      <c r="E19" s="47" t="n">
        <f aca="false">SUMIF(Inventario!B3:B1000,"EPP",Inventario!G3:G1000)</f>
        <v>55</v>
      </c>
      <c r="F19" s="47" t="n">
        <f aca="false">SUMIF(Inventario!B3:B1000,"EPP",Inventario!H3:H1000)</f>
        <v>1</v>
      </c>
    </row>
    <row r="20" customFormat="false" ht="15" hidden="false" customHeight="false" outlineLevel="0" collapsed="false">
      <c r="A20" s="48" t="s">
        <v>65</v>
      </c>
      <c r="B20" s="49" t="n">
        <f aca="false">COUNTIF(Inventario!B3:B1000,"Repuestos")</f>
        <v>2</v>
      </c>
      <c r="C20" s="49" t="n">
        <f aca="false">SUMIF(Inventario!B3:B1000,"Repuestos",Inventario!E3:E1000)</f>
        <v>20</v>
      </c>
      <c r="D20" s="49" t="n">
        <f aca="false">SUMIF(Inventario!B3:B1000,"Repuestos",Inventario!F3:F1000)</f>
        <v>0</v>
      </c>
      <c r="E20" s="49" t="n">
        <f aca="false">SUMIF(Inventario!B3:B1000,"Repuestos",Inventario!G3:G1000)</f>
        <v>20</v>
      </c>
      <c r="F20" s="49" t="n">
        <f aca="false">SUMIF(Inventario!B3:B1000,"Repuestos",Inventario!H3:H1000)</f>
        <v>0</v>
      </c>
    </row>
  </sheetData>
  <mergeCells count="12">
    <mergeCell ref="A1:F1"/>
    <mergeCell ref="A3:D3"/>
    <mergeCell ref="E3:F3"/>
    <mergeCell ref="A5:D5"/>
    <mergeCell ref="E5:F5"/>
    <mergeCell ref="A7:D7"/>
    <mergeCell ref="E7:F7"/>
    <mergeCell ref="A9:D9"/>
    <mergeCell ref="E9:F9"/>
    <mergeCell ref="A11:D11"/>
    <mergeCell ref="E11:F11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5"/>
    <col collapsed="false" customWidth="true" hidden="false" outlineLevel="0" max="4" min="3" style="0" width="10"/>
  </cols>
  <sheetData>
    <row r="1" customFormat="false" ht="27.75" hidden="false" customHeight="true" outlineLevel="0" collapsed="false">
      <c r="A1" s="50" t="s">
        <v>109</v>
      </c>
      <c r="B1" s="50"/>
      <c r="C1" s="50"/>
      <c r="D1" s="50"/>
    </row>
    <row r="3" customFormat="false" ht="19.5" hidden="false" customHeight="true" outlineLevel="0" collapsed="false">
      <c r="A3" s="51" t="s">
        <v>110</v>
      </c>
      <c r="B3" s="51"/>
      <c r="C3" s="51"/>
      <c r="D3" s="51"/>
    </row>
    <row r="4" customFormat="false" ht="19.5" hidden="false" customHeight="true" outlineLevel="0" collapsed="false">
      <c r="A4" s="52" t="s">
        <v>31</v>
      </c>
      <c r="B4" s="53" t="s">
        <v>111</v>
      </c>
    </row>
    <row r="5" customFormat="false" ht="19.5" hidden="false" customHeight="true" outlineLevel="0" collapsed="false">
      <c r="A5" s="52" t="s">
        <v>26</v>
      </c>
      <c r="B5" s="53" t="s">
        <v>112</v>
      </c>
    </row>
    <row r="6" customFormat="false" ht="19.5" hidden="false" customHeight="true" outlineLevel="0" collapsed="false">
      <c r="A6" s="52" t="s">
        <v>20</v>
      </c>
      <c r="B6" s="53" t="s">
        <v>113</v>
      </c>
    </row>
    <row r="7" customFormat="false" ht="19.5" hidden="false" customHeight="true" outlineLevel="0" collapsed="false">
      <c r="A7" s="52" t="s">
        <v>114</v>
      </c>
      <c r="B7" s="53" t="s">
        <v>115</v>
      </c>
    </row>
    <row r="8" customFormat="false" ht="19.5" hidden="false" customHeight="true" outlineLevel="0" collapsed="false">
      <c r="A8" s="52"/>
      <c r="B8" s="54"/>
    </row>
    <row r="9" customFormat="false" ht="19.5" hidden="false" customHeight="true" outlineLevel="0" collapsed="false">
      <c r="A9" s="51" t="s">
        <v>116</v>
      </c>
      <c r="B9" s="51"/>
      <c r="C9" s="51"/>
      <c r="D9" s="51"/>
    </row>
    <row r="10" customFormat="false" ht="19.5" hidden="false" customHeight="true" outlineLevel="0" collapsed="false">
      <c r="A10" s="52" t="s">
        <v>95</v>
      </c>
      <c r="B10" s="53" t="s">
        <v>117</v>
      </c>
    </row>
    <row r="11" customFormat="false" ht="19.5" hidden="false" customHeight="true" outlineLevel="0" collapsed="false">
      <c r="A11" s="52" t="s">
        <v>83</v>
      </c>
      <c r="B11" s="53" t="s">
        <v>118</v>
      </c>
    </row>
    <row r="12" customFormat="false" ht="19.5" hidden="false" customHeight="true" outlineLevel="0" collapsed="false">
      <c r="A12" s="52" t="s">
        <v>87</v>
      </c>
      <c r="B12" s="53" t="s">
        <v>119</v>
      </c>
    </row>
    <row r="13" customFormat="false" ht="19.5" hidden="false" customHeight="true" outlineLevel="0" collapsed="false">
      <c r="A13" s="52"/>
      <c r="B13" s="54"/>
    </row>
    <row r="14" customFormat="false" ht="19.5" hidden="false" customHeight="true" outlineLevel="0" collapsed="false">
      <c r="A14" s="51" t="s">
        <v>120</v>
      </c>
      <c r="B14" s="51"/>
      <c r="C14" s="51"/>
      <c r="D14" s="51"/>
    </row>
    <row r="15" customFormat="false" ht="19.5" hidden="false" customHeight="true" outlineLevel="0" collapsed="false">
      <c r="A15" s="52" t="s">
        <v>5</v>
      </c>
      <c r="B15" s="53" t="s">
        <v>121</v>
      </c>
    </row>
    <row r="16" customFormat="false" ht="19.5" hidden="false" customHeight="true" outlineLevel="0" collapsed="false">
      <c r="A16" s="52" t="s">
        <v>6</v>
      </c>
      <c r="B16" s="53" t="s">
        <v>122</v>
      </c>
    </row>
    <row r="17" customFormat="false" ht="19.5" hidden="false" customHeight="true" outlineLevel="0" collapsed="false">
      <c r="A17" s="52" t="s">
        <v>7</v>
      </c>
      <c r="B17" s="53" t="s">
        <v>123</v>
      </c>
    </row>
    <row r="18" customFormat="false" ht="19.5" hidden="false" customHeight="true" outlineLevel="0" collapsed="false">
      <c r="A18" s="52" t="s">
        <v>8</v>
      </c>
      <c r="B18" s="53" t="s">
        <v>124</v>
      </c>
    </row>
    <row r="19" customFormat="false" ht="19.5" hidden="false" customHeight="true" outlineLevel="0" collapsed="false">
      <c r="A19" s="52"/>
      <c r="B19" s="54"/>
    </row>
    <row r="20" customFormat="false" ht="19.5" hidden="false" customHeight="true" outlineLevel="0" collapsed="false">
      <c r="A20" s="51" t="s">
        <v>125</v>
      </c>
      <c r="B20" s="51"/>
      <c r="C20" s="51"/>
      <c r="D20" s="51"/>
    </row>
    <row r="21" customFormat="false" ht="19.5" hidden="false" customHeight="true" outlineLevel="0" collapsed="false">
      <c r="A21" s="52" t="s">
        <v>126</v>
      </c>
      <c r="B21" s="53" t="s">
        <v>127</v>
      </c>
    </row>
    <row r="22" customFormat="false" ht="19.5" hidden="false" customHeight="true" outlineLevel="0" collapsed="false">
      <c r="A22" s="52" t="s">
        <v>128</v>
      </c>
      <c r="B22" s="53" t="s">
        <v>129</v>
      </c>
    </row>
    <row r="23" customFormat="false" ht="19.5" hidden="false" customHeight="true" outlineLevel="0" collapsed="false">
      <c r="A23" s="52" t="s">
        <v>130</v>
      </c>
      <c r="B23" s="53" t="s">
        <v>131</v>
      </c>
    </row>
    <row r="24" customFormat="false" ht="19.5" hidden="false" customHeight="true" outlineLevel="0" collapsed="false">
      <c r="A24" s="52" t="s">
        <v>132</v>
      </c>
      <c r="B24" s="53" t="s">
        <v>133</v>
      </c>
    </row>
  </sheetData>
  <mergeCells count="5">
    <mergeCell ref="A1:D1"/>
    <mergeCell ref="A3:D3"/>
    <mergeCell ref="A9:D9"/>
    <mergeCell ref="A14:D14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2026-06-28T05:04:34Z</dcterms:created>
  <dc:creator>openpyxl</dc:creator>
  <dc:description/>
  <dc:language>en-US</dc:language>
  <cp:lastModifiedBy/>
  <dcterms:modified xsi:type="dcterms:W3CDTF">2026-06-28T05:04:34Z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